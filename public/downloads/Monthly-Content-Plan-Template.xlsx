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27fcfa40f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39142da307d043ae"/>
    <x:sheet xmlns:r="http://schemas.openxmlformats.org/officeDocument/2006/relationships" name="Instructions" sheetId="2" r:id="R89da856207a0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172238"/>
      <x:name val="Arial"/>
    </x:font>
    <x:font>
      <x:b/>
      <x:sz val="10"/>
      <x:color rgb="FFFFFFFF"/>
      <x:name val="Arial"/>
    </x:font>
    <x:font>
      <x:b/>
      <x:sz val="14"/>
      <x:color rgb="FF172238"/>
      <x:name val="Arial"/>
    </x:font>
    <x:font>
      <x:b/>
      <x:sz val="10"/>
      <x:color rgb="FF17223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BF"/>
      </x:patternFill>
    </x:fill>
    <x:fill>
      <x:patternFill patternType="solid">
        <x:fgColor rgb="FF172D4C"/>
      </x:patternFill>
    </x:fill>
    <x:fill>
      <x:patternFill patternType="solid">
        <x:fgColor rgb="FFFFFAF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20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ee1abcb024069" /><Relationship Type="http://schemas.openxmlformats.org/officeDocument/2006/relationships/theme" Target="/xl/theme/theme1.xml" Id="R5fcdc9793ab14df0" /><Relationship Type="http://schemas.openxmlformats.org/officeDocument/2006/relationships/sharedStrings" Target="/xl/sharedStrings.xml" Id="Rba67d6c968a64614" /><Relationship Type="http://schemas.openxmlformats.org/officeDocument/2006/relationships/worksheet" Target="/xl/worksheets/sheet1.xml" Id="R39142da307d043ae" /><Relationship Type="http://schemas.openxmlformats.org/officeDocument/2006/relationships/worksheet" Target="/xl/worksheets/sheet2.xml" Id="R89da856207a04345" /></Relationships>
</file>

<file path=xl/tables/table1.xml><?xml version="1.0" encoding="utf-8"?>
<x:table xmlns:x="http://schemas.openxmlformats.org/spreadsheetml/2006/main" id="1" name="MonthlyPlan" displayName="MonthlyPlan" ref="A1:J32" headerRowCount="1" totalsRowCount="0" totalsRowShown="0">
  <x:tableColumns count="10">
    <x:tableColumn id="1" name="Date"/>
    <x:tableColumn id="2" name="Title"/>
    <x:tableColumn id="3" name="Format"/>
    <x:tableColumn id="4" name="Platform"/>
    <x:tableColumn id="5" name="Status"/>
    <x:tableColumn id="6" name="Owner"/>
    <x:tableColumn id="7" name="Campaign"/>
    <x:tableColumn id="8" name="Objective"/>
    <x:tableColumn id="9" name="Priority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19fc6274d4465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44" hidden="0" customWidth="1"/>
    <x:col min="3" max="3" width="16" hidden="0" customWidth="1"/>
    <x:col min="4" max="4" width="16" hidden="0" customWidth="1"/>
    <x:col min="5" max="5" width="17" hidden="0" customWidth="1"/>
    <x:col min="6" max="6" width="20" hidden="0" customWidth="1"/>
    <x:col min="7" max="7" width="24" hidden="0" customWidth="1"/>
    <x:col min="8" max="8" width="23" hidden="0" customWidth="1"/>
    <x:col min="9" max="9" width="13" hidden="0" customWidth="1"/>
    <x:col min="10" max="10" width="45" hidden="0" customWidth="1"/>
  </x:cols>
  <x:sheetData>
    <x:row r="1" ht="30" customHeight="1">
      <x:c r="A1" s="8" t="str">
        <x:v>Date</x:v>
      </x:c>
      <x:c r="B1" s="8" t="str">
        <x:v>Title</x:v>
      </x:c>
      <x:c r="C1" s="8" t="str">
        <x:v>Format</x:v>
      </x:c>
      <x:c r="D1" s="8" t="str">
        <x:v>Platform</x:v>
      </x:c>
      <x:c r="E1" s="8" t="str">
        <x:v>Status</x:v>
      </x:c>
      <x:c r="F1" s="8" t="str">
        <x:v>Owner</x:v>
      </x:c>
      <x:c r="G1" s="8" t="str">
        <x:v>Campaign</x:v>
      </x:c>
      <x:c r="H1" s="8" t="str">
        <x:v>Objective</x:v>
      </x:c>
      <x:c r="I1" s="8" t="str">
        <x:v>Priority</x:v>
      </x:c>
      <x:c r="J1" s="8" t="str">
        <x:v>Notes</x:v>
      </x:c>
    </x:row>
    <x:row r="2" ht="25" customHeight="1">
      <x:c r="A2" s="4" t="n">
        <x:f>IF(MONTH(Instructions!$B$2+0)=MONTH(Instructions!$B$2),Instructions!$B$2+0,"")</x:f>
        <x:v>46296</x:v>
      </x:c>
      <x:c r="B2" s="9" t="str"/>
      <x:c r="C2" s="9" t="str">
        <x:v>Short-form</x:v>
      </x:c>
      <x:c r="D2" s="9" t="str">
        <x:v>Instagram</x:v>
      </x:c>
      <x:c r="E2" s="9" t="str">
        <x:v>Idea</x:v>
      </x:c>
      <x:c r="F2" s="9" t="str"/>
      <x:c r="G2" s="9" t="str"/>
      <x:c r="H2" s="9" t="str">
        <x:v>Awareness</x:v>
      </x:c>
      <x:c r="I2" s="9" t="str">
        <x:v>Normal</x:v>
      </x:c>
      <x:c r="J2" s="9" t="str"/>
    </x:row>
    <x:row r="3" ht="25" customHeight="1">
      <x:c r="A3" s="4" t="n">
        <x:f>IF(MONTH(Instructions!$B$2+1)=MONTH(Instructions!$B$2),Instructions!$B$2+1,"")</x:f>
        <x:v>46297</x:v>
      </x:c>
      <x:c r="B3" s="9" t="str"/>
      <x:c r="C3" s="9" t="str">
        <x:v>Short-form</x:v>
      </x:c>
      <x:c r="D3" s="9" t="str">
        <x:v>Instagram</x:v>
      </x:c>
      <x:c r="E3" s="9" t="str">
        <x:v>Idea</x:v>
      </x:c>
      <x:c r="F3" s="9" t="str"/>
      <x:c r="G3" s="9" t="str"/>
      <x:c r="H3" s="9" t="str">
        <x:v>Awareness</x:v>
      </x:c>
      <x:c r="I3" s="9" t="str">
        <x:v>Normal</x:v>
      </x:c>
      <x:c r="J3" s="9" t="str"/>
    </x:row>
    <x:row r="4" ht="25" customHeight="1">
      <x:c r="A4" s="4" t="n">
        <x:f>IF(MONTH(Instructions!$B$2+2)=MONTH(Instructions!$B$2),Instructions!$B$2+2,"")</x:f>
        <x:v>46298</x:v>
      </x:c>
      <x:c r="B4" s="9" t="str"/>
      <x:c r="C4" s="9" t="str">
        <x:v>Short-form</x:v>
      </x:c>
      <x:c r="D4" s="9" t="str">
        <x:v>Instagram</x:v>
      </x:c>
      <x:c r="E4" s="9" t="str">
        <x:v>Idea</x:v>
      </x:c>
      <x:c r="F4" s="9" t="str"/>
      <x:c r="G4" s="9" t="str"/>
      <x:c r="H4" s="9" t="str">
        <x:v>Awareness</x:v>
      </x:c>
      <x:c r="I4" s="9" t="str">
        <x:v>Normal</x:v>
      </x:c>
      <x:c r="J4" s="9" t="str"/>
    </x:row>
    <x:row r="5" ht="25" customHeight="1">
      <x:c r="A5" s="4" t="n">
        <x:f>IF(MONTH(Instructions!$B$2+3)=MONTH(Instructions!$B$2),Instructions!$B$2+3,"")</x:f>
        <x:v>46299</x:v>
      </x:c>
      <x:c r="B5" s="9" t="str"/>
      <x:c r="C5" s="9" t="str">
        <x:v>Short-form</x:v>
      </x:c>
      <x:c r="D5" s="9" t="str">
        <x:v>Instagram</x:v>
      </x:c>
      <x:c r="E5" s="9" t="str">
        <x:v>Idea</x:v>
      </x:c>
      <x:c r="F5" s="9" t="str"/>
      <x:c r="G5" s="9" t="str"/>
      <x:c r="H5" s="9" t="str">
        <x:v>Awareness</x:v>
      </x:c>
      <x:c r="I5" s="9" t="str">
        <x:v>Normal</x:v>
      </x:c>
      <x:c r="J5" s="9" t="str"/>
    </x:row>
    <x:row r="6" ht="25" customHeight="1">
      <x:c r="A6" s="4" t="n">
        <x:f>IF(MONTH(Instructions!$B$2+4)=MONTH(Instructions!$B$2),Instructions!$B$2+4,"")</x:f>
        <x:v>46300</x:v>
      </x:c>
      <x:c r="B6" s="9" t="str"/>
      <x:c r="C6" s="9" t="str">
        <x:v>Short-form</x:v>
      </x:c>
      <x:c r="D6" s="9" t="str">
        <x:v>Instagram</x:v>
      </x:c>
      <x:c r="E6" s="9" t="str">
        <x:v>Idea</x:v>
      </x:c>
      <x:c r="F6" s="9" t="str"/>
      <x:c r="G6" s="9" t="str"/>
      <x:c r="H6" s="9" t="str">
        <x:v>Awareness</x:v>
      </x:c>
      <x:c r="I6" s="9" t="str">
        <x:v>Normal</x:v>
      </x:c>
      <x:c r="J6" s="9" t="str"/>
    </x:row>
    <x:row r="7" ht="25" customHeight="1">
      <x:c r="A7" s="4" t="n">
        <x:f>IF(MONTH(Instructions!$B$2+5)=MONTH(Instructions!$B$2),Instructions!$B$2+5,"")</x:f>
        <x:v>46301</x:v>
      </x:c>
      <x:c r="B7" s="9" t="str"/>
      <x:c r="C7" s="9" t="str">
        <x:v>Short-form</x:v>
      </x:c>
      <x:c r="D7" s="9" t="str">
        <x:v>Instagram</x:v>
      </x:c>
      <x:c r="E7" s="9" t="str">
        <x:v>Idea</x:v>
      </x:c>
      <x:c r="F7" s="9" t="str"/>
      <x:c r="G7" s="9" t="str"/>
      <x:c r="H7" s="9" t="str">
        <x:v>Awareness</x:v>
      </x:c>
      <x:c r="I7" s="9" t="str">
        <x:v>Normal</x:v>
      </x:c>
      <x:c r="J7" s="9" t="str"/>
    </x:row>
    <x:row r="8" ht="25" customHeight="1">
      <x:c r="A8" s="4" t="n">
        <x:f>IF(MONTH(Instructions!$B$2+6)=MONTH(Instructions!$B$2),Instructions!$B$2+6,"")</x:f>
        <x:v>46302</x:v>
      </x:c>
      <x:c r="B8" s="9" t="str"/>
      <x:c r="C8" s="9" t="str">
        <x:v>Short-form</x:v>
      </x:c>
      <x:c r="D8" s="9" t="str">
        <x:v>Instagram</x:v>
      </x:c>
      <x:c r="E8" s="9" t="str">
        <x:v>Idea</x:v>
      </x:c>
      <x:c r="F8" s="9" t="str"/>
      <x:c r="G8" s="9" t="str"/>
      <x:c r="H8" s="9" t="str">
        <x:v>Awareness</x:v>
      </x:c>
      <x:c r="I8" s="9" t="str">
        <x:v>Normal</x:v>
      </x:c>
      <x:c r="J8" s="9" t="str"/>
    </x:row>
    <x:row r="9" ht="25" customHeight="1">
      <x:c r="A9" s="4" t="n">
        <x:f>IF(MONTH(Instructions!$B$2+7)=MONTH(Instructions!$B$2),Instructions!$B$2+7,"")</x:f>
        <x:v>46303</x:v>
      </x:c>
      <x:c r="B9" s="9" t="str"/>
      <x:c r="C9" s="9" t="str">
        <x:v>Short-form</x:v>
      </x:c>
      <x:c r="D9" s="9" t="str">
        <x:v>Instagram</x:v>
      </x:c>
      <x:c r="E9" s="9" t="str">
        <x:v>Idea</x:v>
      </x:c>
      <x:c r="F9" s="9" t="str"/>
      <x:c r="G9" s="9" t="str"/>
      <x:c r="H9" s="9" t="str">
        <x:v>Awareness</x:v>
      </x:c>
      <x:c r="I9" s="9" t="str">
        <x:v>Normal</x:v>
      </x:c>
      <x:c r="J9" s="9" t="str"/>
    </x:row>
    <x:row r="10" ht="25" customHeight="1">
      <x:c r="A10" s="4" t="n">
        <x:f>IF(MONTH(Instructions!$B$2+8)=MONTH(Instructions!$B$2),Instructions!$B$2+8,"")</x:f>
        <x:v>46304</x:v>
      </x:c>
      <x:c r="B10" s="9" t="str"/>
      <x:c r="C10" s="9" t="str">
        <x:v>Short-form</x:v>
      </x:c>
      <x:c r="D10" s="9" t="str">
        <x:v>Instagram</x:v>
      </x:c>
      <x:c r="E10" s="9" t="str">
        <x:v>Idea</x:v>
      </x:c>
      <x:c r="F10" s="9" t="str"/>
      <x:c r="G10" s="9" t="str"/>
      <x:c r="H10" s="9" t="str">
        <x:v>Awareness</x:v>
      </x:c>
      <x:c r="I10" s="9" t="str">
        <x:v>Normal</x:v>
      </x:c>
      <x:c r="J10" s="9" t="str"/>
    </x:row>
    <x:row r="11" ht="25" customHeight="1">
      <x:c r="A11" s="4" t="n">
        <x:f>IF(MONTH(Instructions!$B$2+9)=MONTH(Instructions!$B$2),Instructions!$B$2+9,"")</x:f>
        <x:v>46305</x:v>
      </x:c>
      <x:c r="B11" s="9" t="str"/>
      <x:c r="C11" s="9" t="str">
        <x:v>Short-form</x:v>
      </x:c>
      <x:c r="D11" s="9" t="str">
        <x:v>Instagram</x:v>
      </x:c>
      <x:c r="E11" s="9" t="str">
        <x:v>Idea</x:v>
      </x:c>
      <x:c r="F11" s="9" t="str"/>
      <x:c r="G11" s="9" t="str"/>
      <x:c r="H11" s="9" t="str">
        <x:v>Awareness</x:v>
      </x:c>
      <x:c r="I11" s="9" t="str">
        <x:v>Normal</x:v>
      </x:c>
      <x:c r="J11" s="9" t="str"/>
    </x:row>
    <x:row r="12" ht="25" customHeight="1">
      <x:c r="A12" s="4" t="n">
        <x:f>IF(MONTH(Instructions!$B$2+10)=MONTH(Instructions!$B$2),Instructions!$B$2+10,"")</x:f>
        <x:v>46306</x:v>
      </x:c>
      <x:c r="B12" s="9" t="str"/>
      <x:c r="C12" s="9" t="str">
        <x:v>Short-form</x:v>
      </x:c>
      <x:c r="D12" s="9" t="str">
        <x:v>Instagram</x:v>
      </x:c>
      <x:c r="E12" s="9" t="str">
        <x:v>Idea</x:v>
      </x:c>
      <x:c r="F12" s="9" t="str"/>
      <x:c r="G12" s="9" t="str"/>
      <x:c r="H12" s="9" t="str">
        <x:v>Awareness</x:v>
      </x:c>
      <x:c r="I12" s="9" t="str">
        <x:v>Normal</x:v>
      </x:c>
      <x:c r="J12" s="9" t="str"/>
    </x:row>
    <x:row r="13" ht="25" customHeight="1">
      <x:c r="A13" s="4" t="n">
        <x:f>IF(MONTH(Instructions!$B$2+11)=MONTH(Instructions!$B$2),Instructions!$B$2+11,"")</x:f>
        <x:v>46307</x:v>
      </x:c>
      <x:c r="B13" s="9" t="str"/>
      <x:c r="C13" s="9" t="str">
        <x:v>Short-form</x:v>
      </x:c>
      <x:c r="D13" s="9" t="str">
        <x:v>Instagram</x:v>
      </x:c>
      <x:c r="E13" s="9" t="str">
        <x:v>Idea</x:v>
      </x:c>
      <x:c r="F13" s="9" t="str"/>
      <x:c r="G13" s="9" t="str"/>
      <x:c r="H13" s="9" t="str">
        <x:v>Awareness</x:v>
      </x:c>
      <x:c r="I13" s="9" t="str">
        <x:v>Normal</x:v>
      </x:c>
      <x:c r="J13" s="9" t="str"/>
    </x:row>
    <x:row r="14" ht="25" customHeight="1">
      <x:c r="A14" s="4" t="n">
        <x:f>IF(MONTH(Instructions!$B$2+12)=MONTH(Instructions!$B$2),Instructions!$B$2+12,"")</x:f>
        <x:v>46308</x:v>
      </x:c>
      <x:c r="B14" s="9" t="str"/>
      <x:c r="C14" s="9" t="str">
        <x:v>Short-form</x:v>
      </x:c>
      <x:c r="D14" s="9" t="str">
        <x:v>Instagram</x:v>
      </x:c>
      <x:c r="E14" s="9" t="str">
        <x:v>Idea</x:v>
      </x:c>
      <x:c r="F14" s="9" t="str"/>
      <x:c r="G14" s="9" t="str"/>
      <x:c r="H14" s="9" t="str">
        <x:v>Awareness</x:v>
      </x:c>
      <x:c r="I14" s="9" t="str">
        <x:v>Normal</x:v>
      </x:c>
      <x:c r="J14" s="9" t="str"/>
    </x:row>
    <x:row r="15" ht="25" customHeight="1">
      <x:c r="A15" s="4" t="n">
        <x:f>IF(MONTH(Instructions!$B$2+13)=MONTH(Instructions!$B$2),Instructions!$B$2+13,"")</x:f>
        <x:v>46309</x:v>
      </x:c>
      <x:c r="B15" s="9" t="str"/>
      <x:c r="C15" s="9" t="str">
        <x:v>Short-form</x:v>
      </x:c>
      <x:c r="D15" s="9" t="str">
        <x:v>Instagram</x:v>
      </x:c>
      <x:c r="E15" s="9" t="str">
        <x:v>Idea</x:v>
      </x:c>
      <x:c r="F15" s="9" t="str"/>
      <x:c r="G15" s="9" t="str"/>
      <x:c r="H15" s="9" t="str">
        <x:v>Awareness</x:v>
      </x:c>
      <x:c r="I15" s="9" t="str">
        <x:v>Normal</x:v>
      </x:c>
      <x:c r="J15" s="9" t="str"/>
    </x:row>
    <x:row r="16" ht="25" customHeight="1">
      <x:c r="A16" s="4" t="n">
        <x:f>IF(MONTH(Instructions!$B$2+14)=MONTH(Instructions!$B$2),Instructions!$B$2+14,"")</x:f>
        <x:v>46310</x:v>
      </x:c>
      <x:c r="B16" s="9" t="str"/>
      <x:c r="C16" s="9" t="str">
        <x:v>Short-form</x:v>
      </x:c>
      <x:c r="D16" s="9" t="str">
        <x:v>Instagram</x:v>
      </x:c>
      <x:c r="E16" s="9" t="str">
        <x:v>Idea</x:v>
      </x:c>
      <x:c r="F16" s="9" t="str"/>
      <x:c r="G16" s="9" t="str"/>
      <x:c r="H16" s="9" t="str">
        <x:v>Awareness</x:v>
      </x:c>
      <x:c r="I16" s="9" t="str">
        <x:v>Normal</x:v>
      </x:c>
      <x:c r="J16" s="9" t="str"/>
    </x:row>
    <x:row r="17" ht="25" customHeight="1">
      <x:c r="A17" s="4" t="n">
        <x:f>IF(MONTH(Instructions!$B$2+15)=MONTH(Instructions!$B$2),Instructions!$B$2+15,"")</x:f>
        <x:v>46311</x:v>
      </x:c>
      <x:c r="B17" s="9" t="str"/>
      <x:c r="C17" s="9" t="str">
        <x:v>Short-form</x:v>
      </x:c>
      <x:c r="D17" s="9" t="str">
        <x:v>Instagram</x:v>
      </x:c>
      <x:c r="E17" s="9" t="str">
        <x:v>Idea</x:v>
      </x:c>
      <x:c r="F17" s="9" t="str"/>
      <x:c r="G17" s="9" t="str"/>
      <x:c r="H17" s="9" t="str">
        <x:v>Awareness</x:v>
      </x:c>
      <x:c r="I17" s="9" t="str">
        <x:v>Normal</x:v>
      </x:c>
      <x:c r="J17" s="9" t="str"/>
    </x:row>
    <x:row r="18" ht="25" customHeight="1">
      <x:c r="A18" s="4" t="n">
        <x:f>IF(MONTH(Instructions!$B$2+16)=MONTH(Instructions!$B$2),Instructions!$B$2+16,"")</x:f>
        <x:v>46312</x:v>
      </x:c>
      <x:c r="B18" s="9" t="str"/>
      <x:c r="C18" s="9" t="str">
        <x:v>Short-form</x:v>
      </x:c>
      <x:c r="D18" s="9" t="str">
        <x:v>Instagram</x:v>
      </x:c>
      <x:c r="E18" s="9" t="str">
        <x:v>Idea</x:v>
      </x:c>
      <x:c r="F18" s="9" t="str"/>
      <x:c r="G18" s="9" t="str"/>
      <x:c r="H18" s="9" t="str">
        <x:v>Awareness</x:v>
      </x:c>
      <x:c r="I18" s="9" t="str">
        <x:v>Normal</x:v>
      </x:c>
      <x:c r="J18" s="9" t="str"/>
    </x:row>
    <x:row r="19" ht="25" customHeight="1">
      <x:c r="A19" s="4" t="n">
        <x:f>IF(MONTH(Instructions!$B$2+17)=MONTH(Instructions!$B$2),Instructions!$B$2+17,"")</x:f>
        <x:v>46313</x:v>
      </x:c>
      <x:c r="B19" s="9" t="str"/>
      <x:c r="C19" s="9" t="str">
        <x:v>Short-form</x:v>
      </x:c>
      <x:c r="D19" s="9" t="str">
        <x:v>Instagram</x:v>
      </x:c>
      <x:c r="E19" s="9" t="str">
        <x:v>Idea</x:v>
      </x:c>
      <x:c r="F19" s="9" t="str"/>
      <x:c r="G19" s="9" t="str"/>
      <x:c r="H19" s="9" t="str">
        <x:v>Awareness</x:v>
      </x:c>
      <x:c r="I19" s="9" t="str">
        <x:v>Normal</x:v>
      </x:c>
      <x:c r="J19" s="9" t="str"/>
    </x:row>
    <x:row r="20" ht="25" customHeight="1">
      <x:c r="A20" s="4" t="n">
        <x:f>IF(MONTH(Instructions!$B$2+18)=MONTH(Instructions!$B$2),Instructions!$B$2+18,"")</x:f>
        <x:v>46314</x:v>
      </x:c>
      <x:c r="B20" s="9" t="str"/>
      <x:c r="C20" s="9" t="str">
        <x:v>Short-form</x:v>
      </x:c>
      <x:c r="D20" s="9" t="str">
        <x:v>Instagram</x:v>
      </x:c>
      <x:c r="E20" s="9" t="str">
        <x:v>Idea</x:v>
      </x:c>
      <x:c r="F20" s="9" t="str"/>
      <x:c r="G20" s="9" t="str"/>
      <x:c r="H20" s="9" t="str">
        <x:v>Awareness</x:v>
      </x:c>
      <x:c r="I20" s="9" t="str">
        <x:v>Normal</x:v>
      </x:c>
      <x:c r="J20" s="9" t="str"/>
    </x:row>
    <x:row r="21" ht="25" customHeight="1">
      <x:c r="A21" s="4" t="n">
        <x:f>IF(MONTH(Instructions!$B$2+19)=MONTH(Instructions!$B$2),Instructions!$B$2+19,"")</x:f>
        <x:v>46315</x:v>
      </x:c>
      <x:c r="B21" s="9" t="str"/>
      <x:c r="C21" s="9" t="str">
        <x:v>Short-form</x:v>
      </x:c>
      <x:c r="D21" s="9" t="str">
        <x:v>Instagram</x:v>
      </x:c>
      <x:c r="E21" s="9" t="str">
        <x:v>Idea</x:v>
      </x:c>
      <x:c r="F21" s="9" t="str"/>
      <x:c r="G21" s="9" t="str"/>
      <x:c r="H21" s="9" t="str">
        <x:v>Awareness</x:v>
      </x:c>
      <x:c r="I21" s="9" t="str">
        <x:v>Normal</x:v>
      </x:c>
      <x:c r="J21" s="9" t="str"/>
    </x:row>
    <x:row r="22" ht="25" customHeight="1">
      <x:c r="A22" s="4" t="n">
        <x:f>IF(MONTH(Instructions!$B$2+20)=MONTH(Instructions!$B$2),Instructions!$B$2+20,"")</x:f>
        <x:v>46316</x:v>
      </x:c>
      <x:c r="B22" s="9" t="str"/>
      <x:c r="C22" s="9" t="str">
        <x:v>Short-form</x:v>
      </x:c>
      <x:c r="D22" s="9" t="str">
        <x:v>Instagram</x:v>
      </x:c>
      <x:c r="E22" s="9" t="str">
        <x:v>Idea</x:v>
      </x:c>
      <x:c r="F22" s="9" t="str"/>
      <x:c r="G22" s="9" t="str"/>
      <x:c r="H22" s="9" t="str">
        <x:v>Awareness</x:v>
      </x:c>
      <x:c r="I22" s="9" t="str">
        <x:v>Normal</x:v>
      </x:c>
      <x:c r="J22" s="9" t="str"/>
    </x:row>
    <x:row r="23" ht="25" customHeight="1">
      <x:c r="A23" s="4" t="n">
        <x:f>IF(MONTH(Instructions!$B$2+21)=MONTH(Instructions!$B$2),Instructions!$B$2+21,"")</x:f>
        <x:v>46317</x:v>
      </x:c>
      <x:c r="B23" s="9" t="str"/>
      <x:c r="C23" s="9" t="str">
        <x:v>Short-form</x:v>
      </x:c>
      <x:c r="D23" s="9" t="str">
        <x:v>Instagram</x:v>
      </x:c>
      <x:c r="E23" s="9" t="str">
        <x:v>Idea</x:v>
      </x:c>
      <x:c r="F23" s="9" t="str"/>
      <x:c r="G23" s="9" t="str"/>
      <x:c r="H23" s="9" t="str">
        <x:v>Awareness</x:v>
      </x:c>
      <x:c r="I23" s="9" t="str">
        <x:v>Normal</x:v>
      </x:c>
      <x:c r="J23" s="9" t="str"/>
    </x:row>
    <x:row r="24" ht="25" customHeight="1">
      <x:c r="A24" s="4" t="n">
        <x:f>IF(MONTH(Instructions!$B$2+22)=MONTH(Instructions!$B$2),Instructions!$B$2+22,"")</x:f>
        <x:v>46318</x:v>
      </x:c>
      <x:c r="B24" s="9" t="str"/>
      <x:c r="C24" s="9" t="str">
        <x:v>Short-form</x:v>
      </x:c>
      <x:c r="D24" s="9" t="str">
        <x:v>Instagram</x:v>
      </x:c>
      <x:c r="E24" s="9" t="str">
        <x:v>Idea</x:v>
      </x:c>
      <x:c r="F24" s="9" t="str"/>
      <x:c r="G24" s="9" t="str"/>
      <x:c r="H24" s="9" t="str">
        <x:v>Awareness</x:v>
      </x:c>
      <x:c r="I24" s="9" t="str">
        <x:v>Normal</x:v>
      </x:c>
      <x:c r="J24" s="9" t="str"/>
    </x:row>
    <x:row r="25" ht="25" customHeight="1">
      <x:c r="A25" s="4" t="n">
        <x:f>IF(MONTH(Instructions!$B$2+23)=MONTH(Instructions!$B$2),Instructions!$B$2+23,"")</x:f>
        <x:v>46319</x:v>
      </x:c>
      <x:c r="B25" s="9" t="str"/>
      <x:c r="C25" s="9" t="str">
        <x:v>Short-form</x:v>
      </x:c>
      <x:c r="D25" s="9" t="str">
        <x:v>Instagram</x:v>
      </x:c>
      <x:c r="E25" s="9" t="str">
        <x:v>Idea</x:v>
      </x:c>
      <x:c r="F25" s="9" t="str"/>
      <x:c r="G25" s="9" t="str"/>
      <x:c r="H25" s="9" t="str">
        <x:v>Awareness</x:v>
      </x:c>
      <x:c r="I25" s="9" t="str">
        <x:v>Normal</x:v>
      </x:c>
      <x:c r="J25" s="9" t="str"/>
    </x:row>
    <x:row r="26" ht="25" customHeight="1">
      <x:c r="A26" s="4" t="n">
        <x:f>IF(MONTH(Instructions!$B$2+24)=MONTH(Instructions!$B$2),Instructions!$B$2+24,"")</x:f>
        <x:v>46320</x:v>
      </x:c>
      <x:c r="B26" s="9" t="str"/>
      <x:c r="C26" s="9" t="str">
        <x:v>Short-form</x:v>
      </x:c>
      <x:c r="D26" s="9" t="str">
        <x:v>Instagram</x:v>
      </x:c>
      <x:c r="E26" s="9" t="str">
        <x:v>Idea</x:v>
      </x:c>
      <x:c r="F26" s="9" t="str"/>
      <x:c r="G26" s="9" t="str"/>
      <x:c r="H26" s="9" t="str">
        <x:v>Awareness</x:v>
      </x:c>
      <x:c r="I26" s="9" t="str">
        <x:v>Normal</x:v>
      </x:c>
      <x:c r="J26" s="9" t="str"/>
    </x:row>
    <x:row r="27" ht="25" customHeight="1">
      <x:c r="A27" s="4" t="n">
        <x:f>IF(MONTH(Instructions!$B$2+25)=MONTH(Instructions!$B$2),Instructions!$B$2+25,"")</x:f>
        <x:v>46321</x:v>
      </x:c>
      <x:c r="B27" s="9" t="str"/>
      <x:c r="C27" s="9" t="str">
        <x:v>Short-form</x:v>
      </x:c>
      <x:c r="D27" s="9" t="str">
        <x:v>Instagram</x:v>
      </x:c>
      <x:c r="E27" s="9" t="str">
        <x:v>Idea</x:v>
      </x:c>
      <x:c r="F27" s="9" t="str"/>
      <x:c r="G27" s="9" t="str"/>
      <x:c r="H27" s="9" t="str">
        <x:v>Awareness</x:v>
      </x:c>
      <x:c r="I27" s="9" t="str">
        <x:v>Normal</x:v>
      </x:c>
      <x:c r="J27" s="9" t="str"/>
    </x:row>
    <x:row r="28" ht="25" customHeight="1">
      <x:c r="A28" s="4" t="n">
        <x:f>IF(MONTH(Instructions!$B$2+26)=MONTH(Instructions!$B$2),Instructions!$B$2+26,"")</x:f>
        <x:v>46322</x:v>
      </x:c>
      <x:c r="B28" s="9" t="str"/>
      <x:c r="C28" s="9" t="str">
        <x:v>Short-form</x:v>
      </x:c>
      <x:c r="D28" s="9" t="str">
        <x:v>Instagram</x:v>
      </x:c>
      <x:c r="E28" s="9" t="str">
        <x:v>Idea</x:v>
      </x:c>
      <x:c r="F28" s="9" t="str"/>
      <x:c r="G28" s="9" t="str"/>
      <x:c r="H28" s="9" t="str">
        <x:v>Awareness</x:v>
      </x:c>
      <x:c r="I28" s="9" t="str">
        <x:v>Normal</x:v>
      </x:c>
      <x:c r="J28" s="9" t="str"/>
    </x:row>
    <x:row r="29" ht="25" customHeight="1">
      <x:c r="A29" s="4" t="n">
        <x:f>IF(MONTH(Instructions!$B$2+27)=MONTH(Instructions!$B$2),Instructions!$B$2+27,"")</x:f>
        <x:v>46323</x:v>
      </x:c>
      <x:c r="B29" s="9" t="str"/>
      <x:c r="C29" s="9" t="str">
        <x:v>Short-form</x:v>
      </x:c>
      <x:c r="D29" s="9" t="str">
        <x:v>Instagram</x:v>
      </x:c>
      <x:c r="E29" s="9" t="str">
        <x:v>Idea</x:v>
      </x:c>
      <x:c r="F29" s="9" t="str"/>
      <x:c r="G29" s="9" t="str"/>
      <x:c r="H29" s="9" t="str">
        <x:v>Awareness</x:v>
      </x:c>
      <x:c r="I29" s="9" t="str">
        <x:v>Normal</x:v>
      </x:c>
      <x:c r="J29" s="9" t="str"/>
    </x:row>
    <x:row r="30" ht="25" customHeight="1">
      <x:c r="A30" s="4" t="n">
        <x:f>IF(MONTH(Instructions!$B$2+28)=MONTH(Instructions!$B$2),Instructions!$B$2+28,"")</x:f>
        <x:v>46324</x:v>
      </x:c>
      <x:c r="B30" s="9" t="str"/>
      <x:c r="C30" s="9" t="str">
        <x:v>Short-form</x:v>
      </x:c>
      <x:c r="D30" s="9" t="str">
        <x:v>Instagram</x:v>
      </x:c>
      <x:c r="E30" s="9" t="str">
        <x:v>Idea</x:v>
      </x:c>
      <x:c r="F30" s="9" t="str"/>
      <x:c r="G30" s="9" t="str"/>
      <x:c r="H30" s="9" t="str">
        <x:v>Awareness</x:v>
      </x:c>
      <x:c r="I30" s="9" t="str">
        <x:v>Normal</x:v>
      </x:c>
      <x:c r="J30" s="9" t="str"/>
    </x:row>
    <x:row r="31" ht="25" customHeight="1">
      <x:c r="A31" s="4" t="n">
        <x:f>IF(MONTH(Instructions!$B$2+29)=MONTH(Instructions!$B$2),Instructions!$B$2+29,"")</x:f>
        <x:v>46325</x:v>
      </x:c>
      <x:c r="B31" s="9" t="str"/>
      <x:c r="C31" s="9" t="str">
        <x:v>Short-form</x:v>
      </x:c>
      <x:c r="D31" s="9" t="str">
        <x:v>Instagram</x:v>
      </x:c>
      <x:c r="E31" s="9" t="str">
        <x:v>Idea</x:v>
      </x:c>
      <x:c r="F31" s="9" t="str"/>
      <x:c r="G31" s="9" t="str"/>
      <x:c r="H31" s="9" t="str">
        <x:v>Awareness</x:v>
      </x:c>
      <x:c r="I31" s="9" t="str">
        <x:v>Normal</x:v>
      </x:c>
      <x:c r="J31" s="9" t="str"/>
    </x:row>
    <x:row r="32" ht="25" customHeight="1">
      <x:c r="A32" s="4" t="n">
        <x:f>IF(MONTH(Instructions!$B$2+30)=MONTH(Instructions!$B$2),Instructions!$B$2+30,"")</x:f>
        <x:v>46326</x:v>
      </x:c>
      <x:c r="B32" s="9" t="str"/>
      <x:c r="C32" s="9" t="str">
        <x:v>Short-form</x:v>
      </x:c>
      <x:c r="D32" s="9" t="str">
        <x:v>Instagram</x:v>
      </x:c>
      <x:c r="E32" s="9" t="str">
        <x:v>Idea</x:v>
      </x:c>
      <x:c r="F32" s="9" t="str"/>
      <x:c r="G32" s="9" t="str"/>
      <x:c r="H32" s="9" t="str">
        <x:v>Awareness</x:v>
      </x:c>
      <x:c r="I32" s="9" t="str">
        <x:v>Normal</x:v>
      </x:c>
      <x:c r="J32" s="9" t="str"/>
    </x:row>
  </x:sheetData>
  <x:dataValidations count="5">
    <x:dataValidation type="list" sqref="C2:C367">
      <x:formula1>"Short-form,Long-form"</x:formula1>
    </x:dataValidation>
    <x:dataValidation type="list" sqref="D2:D367">
      <x:formula1>"Instagram,TikTok,Facebook,YouTube,Pinterest,Blog,LinkedIn"</x:formula1>
    </x:dataValidation>
    <x:dataValidation type="list" sqref="E2:E367">
      <x:formula1>"Idea,In progress,In review,Scheduled,Published"</x:formula1>
    </x:dataValidation>
    <x:dataValidation type="list" sqref="H2:H367">
      <x:formula1>"Awareness,Engagement,Lead generation,Sales,Customer retention"</x:formula1>
    </x:dataValidation>
    <x:dataValidation type="list" sqref="I2:I367">
      <x:formula1>"Low,Normal,High"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19fc6274d446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2" ht="29" customHeight="1">
      <x:c r="A2" s="3" t="str">
        <x:v>First day of month</x:v>
      </x:c>
      <x:c r="B2" s="10" t="n">
        <x:v>46296</x:v>
      </x:c>
    </x:row>
    <x:row r="3" ht="29" customHeight="1">
      <x:c r="A3" s="3"/>
      <x:c r="B3" s="3"/>
    </x:row>
    <x:row r="4" ht="29" customHeight="1">
      <x:c r="A4" s="11" t="str">
        <x:v>Monthly content plan</x:v>
      </x:c>
      <x:c r="B4" s="3" t="str"/>
    </x:row>
    <x:row r="5" ht="29" customHeight="1">
      <x:c r="A5" s="12" t="str">
        <x:v>1. Choose month</x:v>
      </x:c>
      <x:c r="B5" s="3" t="str">
        <x:v>Set B2 to the first day of the month. Plan dates update automatically.</x:v>
      </x:c>
    </x:row>
    <x:row r="6" ht="29" customHeight="1">
      <x:c r="A6" s="12" t="str">
        <x:v>2. Fill Plan</x:v>
      </x:c>
      <x:c r="B6" s="3" t="str">
        <x:v>Enter a title, format and platform for each post. Blank titles are skipped.</x:v>
      </x:c>
    </x:row>
    <x:row r="7" ht="29" customHeight="1">
      <x:c r="A7" s="12" t="str">
        <x:v>3. Multiple posts</x:v>
      </x:c>
      <x:c r="B7" s="3" t="str">
        <x:v>Add a row and enter its date for each extra post. Maximum 366 posts per upload.</x:v>
      </x:c>
    </x:row>
    <x:row r="8" ht="29" customHeight="1">
      <x:c r="A8" s="12" t="str">
        <x:v>4. Save workbook</x:v>
      </x:c>
      <x:c r="B8" s="3" t="str">
        <x:v>Save in Excel so calculated dates are stored. Keep the Plan name and row 1 headers.</x:v>
      </x:c>
    </x:row>
    <x:row r="9" ht="29" customHeight="1">
      <x:c r="A9" s="12" t="str">
        <x:v>5. Upload</x:v>
      </x:c>
      <x:c r="B9" s="3" t="str">
        <x:v>Choose the same client and month in the dashboard, then upload this .xlsx file.</x:v>
      </x:c>
    </x:row>
    <x:row r="10" ht="29" customHeight="1">
      <x:c r="A10" s="12" t="str">
        <x:v>6. Review</x:v>
      </x:c>
      <x:c r="B10" s="3" t="str">
        <x:v>Fix any row errors. Preview the plan and click Import plan.</x:v>
      </x:c>
    </x:row>
    <x:row r="11" ht="29" customHeight="1">
      <x:c r="A11" s="12" t="str">
        <x:v>Duplicate handling</x:v>
      </x:c>
      <x:c r="B11" s="3" t="str">
        <x:v>Matches on date, title, format and platform are skipped. Existing items are not changed.</x:v>
      </x:c>
    </x:row>
    <x:row r="12" ht="29" customHeight="1">
      <x:c r="A12" s="12" t="str">
        <x:v>Optional fields</x:v>
      </x:c>
      <x:c r="B12" s="3" t="str">
        <x:v>Owner, Campaign, Objective, Priority and Notes can be edited. Metrics start at zero.</x:v>
      </x:c>
    </x:row>
    <x:row r="13" ht="29" customHeight="1">
      <x:c r="A13" s="12" t="str">
        <x:v>Date entry</x:v>
      </x:c>
      <x:c r="B13" s="3" t="str">
        <x:v>Use real Excel dates or YYYY-MM-DD. For shorter months, unused dates remain blank.</x:v>
      </x:c>
    </x:row>
  </x:sheetData>
  <x:pageMargins left="0.7" right="0.7" top="0.75" bottom="0.75" header="0.3" footer="0.3"/>
</x:worksheet>
</file>